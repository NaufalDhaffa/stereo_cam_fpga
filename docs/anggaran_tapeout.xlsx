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tereo-depth-cam\docs\"/>
    </mc:Choice>
  </mc:AlternateContent>
  <xr:revisionPtr revIDLastSave="0" documentId="13_ncr:1_{16D03898-1DB1-4219-A607-46602B3E2B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umsi" sheetId="1" r:id="rId1"/>
    <sheet name="Ringkasan" sheetId="2" r:id="rId2"/>
    <sheet name="1 IC" sheetId="3" r:id="rId3"/>
    <sheet name="2 IC" sheetId="4" r:id="rId4"/>
    <sheet name="Sumb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4" l="1"/>
  <c r="C6" i="4"/>
  <c r="B5" i="4"/>
  <c r="C5" i="4" s="1"/>
  <c r="C7" i="3"/>
  <c r="C6" i="3"/>
  <c r="B5" i="3"/>
  <c r="C5" i="3" s="1"/>
  <c r="B28" i="1"/>
  <c r="D14" i="4" s="1"/>
  <c r="C7" i="2" s="1"/>
  <c r="B27" i="1"/>
  <c r="D14" i="3" s="1"/>
  <c r="B7" i="2" s="1"/>
  <c r="B17" i="1"/>
  <c r="D7" i="4" l="1"/>
  <c r="D7" i="3"/>
  <c r="D6" i="4"/>
  <c r="D6" i="3"/>
  <c r="D5" i="4"/>
  <c r="C8" i="4"/>
  <c r="D5" i="3"/>
  <c r="D8" i="3" s="1"/>
  <c r="C8" i="3"/>
  <c r="D7" i="2"/>
  <c r="D9" i="3"/>
  <c r="D9" i="4" l="1"/>
  <c r="D8" i="4"/>
  <c r="D13" i="4" s="1"/>
  <c r="C4" i="2"/>
  <c r="D13" i="3"/>
  <c r="B6" i="2" s="1"/>
  <c r="B4" i="2"/>
  <c r="D10" i="3"/>
  <c r="D16" i="3" s="1"/>
  <c r="D12" i="3"/>
  <c r="D11" i="3"/>
  <c r="D11" i="4" l="1"/>
  <c r="D10" i="4"/>
  <c r="D4" i="2"/>
  <c r="D17" i="3"/>
  <c r="B9" i="2" s="1"/>
  <c r="D18" i="3"/>
  <c r="D19" i="3"/>
  <c r="B10" i="2" s="1"/>
  <c r="B8" i="2"/>
  <c r="B5" i="2"/>
  <c r="C6" i="2"/>
  <c r="D6" i="2" s="1"/>
  <c r="D12" i="4" l="1"/>
  <c r="D16" i="4" l="1"/>
  <c r="C5" i="2"/>
  <c r="D5" i="2" s="1"/>
  <c r="C8" i="2" l="1"/>
  <c r="D8" i="2" s="1"/>
  <c r="D17" i="4"/>
  <c r="C9" i="2" s="1"/>
  <c r="D9" i="2" s="1"/>
  <c r="D18" i="4"/>
  <c r="D19" i="4"/>
  <c r="C10" i="2" s="1"/>
  <c r="D10" i="2" s="1"/>
</calcChain>
</file>

<file path=xl/sharedStrings.xml><?xml version="1.0" encoding="utf-8"?>
<sst xmlns="http://schemas.openxmlformats.org/spreadsheetml/2006/main" count="188" uniqueCount="133">
  <si>
    <t>Anggaran tapeout Tiny Tapeout: asumsi dan sumber</t>
  </si>
  <si>
    <t>Ubah hanya sel berwarna biru dengan latar kuning; lembar '1 IC' dan '2 IC' menghitung ulang sendiri. Angka biru = masukan, hitam = rumus.</t>
  </si>
  <si>
    <t>Asumsi</t>
  </si>
  <si>
    <t>Nilai</t>
  </si>
  <si>
    <t>Satuan</t>
  </si>
  <si>
    <t>Keterangan</t>
  </si>
  <si>
    <t>Sumber</t>
  </si>
  <si>
    <t>Harga per petak (tile)</t>
  </si>
  <si>
    <t>€</t>
  </si>
  <si>
    <t>Harga normal kalkulator; early bird tidak dihitung (jumlahnya tidak ditemukan, sekali per orang)</t>
  </si>
  <si>
    <t>Tiny Tapeout Pricing Calculator</t>
  </si>
  <si>
    <t>Jumlah petak desain</t>
  </si>
  <si>
    <t>petak</t>
  </si>
  <si>
    <t>Desain irisan 4x2 (682,64 x 225,76 µm), lolos precheck 15/15</t>
  </si>
  <si>
    <t>asic/tt/info.yaml di repo ini (desain 4x2 = 8 petak)</t>
  </si>
  <si>
    <t>Harga devkit (demo board + breakout berisi 1 chip)</t>
  </si>
  <si>
    <t>Satu devkit = satu chip; chip tambahan = devkit tambahan</t>
  </si>
  <si>
    <t>Ongkir Worldwide Economy per devkit</t>
  </si>
  <si>
    <t>Kalkulator menunjukkan €15 untuk 1 devkit; untuk 2 devkit dianggap €15 masing-masing (bisa lebih murah bila satu paket)</t>
  </si>
  <si>
    <t>Kurs EUR ke IDR</t>
  </si>
  <si>
    <t>Rp/€</t>
  </si>
  <si>
    <t>Asumsi; kurs terakhir yang ditemukan pertengahan Mei 2026 sekitar 20.400-20.700. Perbarui saat membayar</t>
  </si>
  <si>
    <t>Trading Economics: EUR/IDR</t>
  </si>
  <si>
    <t>Bea masuk barang kiriman</t>
  </si>
  <si>
    <t>Tarif umum barang kiriman (PMK 4/2025). PMK 50/2026 mengubah tarif: cek ke Bea Cukai</t>
  </si>
  <si>
    <t>DDTC News: tarif bea masuk barang kiriman (PMK 4/2025)</t>
  </si>
  <si>
    <t>PPN impor</t>
  </si>
  <si>
    <t>Sumber berbeda: 11% paling sering, satu sumber menyebut 12%</t>
  </si>
  <si>
    <t>Janio: prosedur bea cukai Indonesia (PPN, PPh dengan/tanpa NPWP)</t>
  </si>
  <si>
    <t>PPh impor dengan NPWP</t>
  </si>
  <si>
    <t>Tanpa NPWP lihat baris berikut</t>
  </si>
  <si>
    <t>PPh impor tanpa NPWP</t>
  </si>
  <si>
    <t>Dipakai di baris 'tanpa NPWP' lembar 1 IC dan 2 IC</t>
  </si>
  <si>
    <t>Biaya kartu / selisih kurs</t>
  </si>
  <si>
    <t>Perkiraan selisih kurs bank dan biaya transaksi luar negeri</t>
  </si>
  <si>
    <t>Ambang de minimis (pajak berlaku di atas ini)</t>
  </si>
  <si>
    <t>USD</t>
  </si>
  <si>
    <t>Nilai devkit jauh di atasnya, jadi pajak impor berlaku</t>
  </si>
  <si>
    <t>DHL: aturan de minimis 2026 (ambang USD 3)</t>
  </si>
  <si>
    <t>Margin kenaikan kurs</t>
  </si>
  <si>
    <t>Cadangan bila rupiah melemah sebelum pembayaran (devkit dibayar sekarang, pajak impor dibayar saat chip tiba, sekitar Juni 2027)</t>
  </si>
  <si>
    <t>Kurs yang dipakai menghitung (kurs x (1 + margin))</t>
  </si>
  <si>
    <t>Semua konversi euro ke rupiah memakai kurs ini</t>
  </si>
  <si>
    <t>Papan interface ke EBAZ4205 (beli lokal / JLCPCB)</t>
  </si>
  <si>
    <t>Barang</t>
  </si>
  <si>
    <t>Harga (Rp)</t>
  </si>
  <si>
    <t>Jumlah 1 IC</t>
  </si>
  <si>
    <t>PCB adapter PMOD ke header EBAZ4205 (5 lembar)</t>
  </si>
  <si>
    <t>Pesanan minimum 5 lembar; cukup untuk 1 atau 2 chip</t>
  </si>
  <si>
    <t>JLCPCB (PCB prototipe)</t>
  </si>
  <si>
    <t>Ongkir PCB ke Indonesia + pajak kecil</t>
  </si>
  <si>
    <t>Perkiraan pengiriman ekonomi</t>
  </si>
  <si>
    <t>Header pin dan konektor PMOD</t>
  </si>
  <si>
    <t>Toko lokal</t>
  </si>
  <si>
    <t>Resistor seri 33 ohm (jalur clock)</t>
  </si>
  <si>
    <t>Anjuran desain rantai</t>
  </si>
  <si>
    <t>docs/matcher_mini_chain.md di repo ini (resistor seri 33 ohm, pin hub 17 + N)</t>
  </si>
  <si>
    <t>Kabel jumper</t>
  </si>
  <si>
    <t>Tambahan untuk chip kedua: konektor, kabel rantai uo_out ke uio_in</t>
  </si>
  <si>
    <t>Hanya untuk 2 IC</t>
  </si>
  <si>
    <t>Interface untuk 1 IC</t>
  </si>
  <si>
    <t>Interface untuk 2 IC (semua barang)</t>
  </si>
  <si>
    <t>Ringkasan anggaran tapeout</t>
  </si>
  <si>
    <t>Pos</t>
  </si>
  <si>
    <t>1 IC</t>
  </si>
  <si>
    <t>2 IC</t>
  </si>
  <si>
    <t>Selisih</t>
  </si>
  <si>
    <t>Dibayar ke Tiny Tapeout</t>
  </si>
  <si>
    <t>Pajak impor (bea masuk + PPN + PPh, NPWP)</t>
  </si>
  <si>
    <t>Biaya kartu / kurs</t>
  </si>
  <si>
    <t>Papan interface</t>
  </si>
  <si>
    <t>TOTAL dengan NPWP</t>
  </si>
  <si>
    <t>TOTAL tanpa NPWP</t>
  </si>
  <si>
    <t xml:space="preserve">  di dalamnya: cadangan margin kurs</t>
  </si>
  <si>
    <t>Biaya desain (8 petak) dibayar sekali; chip kedua berarti devkit kedua. Di chip Tiny Tapeout hanya satu proyek aktif pada satu waktu, jadi rantai 2 irisan butuh 2 chip fisik.</t>
  </si>
  <si>
    <t>Anggaran 1 IC (rantai 1 irisan, 16 disparitas)</t>
  </si>
  <si>
    <t>Shuttle Tiny Tapeout SKY26d: tutup 30 Nov 2026, chip diperkirakan 12 Mei 2027, pengiriman sekitar 9 Jun 2027</t>
  </si>
  <si>
    <t>Jumlah</t>
  </si>
  <si>
    <t>Rupiah</t>
  </si>
  <si>
    <t>Catatan</t>
  </si>
  <si>
    <t>Desain 4x2 (dibayar sekali per desain)</t>
  </si>
  <si>
    <t>Biaya petak; sama untuk 1 dan 2 IC</t>
  </si>
  <si>
    <t>Devkit (satu chip per devkit)</t>
  </si>
  <si>
    <t>Chip tambahan = devkit tambahan</t>
  </si>
  <si>
    <t>Ongkir ke Indonesia</t>
  </si>
  <si>
    <t>Worldwide Economy</t>
  </si>
  <si>
    <t>Subtotal dibayar ke Tiny Tapeout</t>
  </si>
  <si>
    <t>Nilai pabean (devkit + ongkir; biaya petak adalah jasa, tidak ikut)</t>
  </si>
  <si>
    <t>Bea masuk</t>
  </si>
  <si>
    <t>dari nilai pabean</t>
  </si>
  <si>
    <t>dari nilai pabean + bea masuk</t>
  </si>
  <si>
    <t>PPh impor (dengan NPWP)</t>
  </si>
  <si>
    <t>dari pembayaran ke Tiny Tapeout</t>
  </si>
  <si>
    <t>Papan interface ke EBAZ4205</t>
  </si>
  <si>
    <t>rincian di lembar Asumsi</t>
  </si>
  <si>
    <t>TOTAL (dengan NPWP)</t>
  </si>
  <si>
    <t>TOTAL tanpa NPWP (PPh 20%)</t>
  </si>
  <si>
    <t>TOTAL dengan NPWP, dalam euro (kurs dengan margin)</t>
  </si>
  <si>
    <t xml:space="preserve">  di dalamnya: cadangan dari margin kenaikan kurs</t>
  </si>
  <si>
    <t>Catatan: pin EBAZ4205 untuk hub (17 + N) belum tersedia dengan susunan sekarang; cek header J3/J5 sebelum membeli. Ketersediaan 4x2 dan harga SKY26d perlu dikonfirmasi di kalkulator saat memesan.</t>
  </si>
  <si>
    <t>Anggaran 2 IC (rantai 2 irisan, 32 disparitas)</t>
  </si>
  <si>
    <t>Sumber harga dan tarif</t>
  </si>
  <si>
    <t>Link</t>
  </si>
  <si>
    <t>Dipakai untuk</t>
  </si>
  <si>
    <t>https://app.tinytapeout.com/calculator?tiles=1&amp;pcbs=1</t>
  </si>
  <si>
    <t>Harga petak, devkit, ongkir</t>
  </si>
  <si>
    <t>Tiny Tapeout Chips (jadwal shuttle SKY26d)</t>
  </si>
  <si>
    <t>https://tinytapeout.com/chips/</t>
  </si>
  <si>
    <t>Jadwal shuttle SKY26d</t>
  </si>
  <si>
    <t>Tiny Tapeout FAQ (1 chip per devkit, early bird sekali per orang)</t>
  </si>
  <si>
    <t>https://tinytapeout.com/faq/</t>
  </si>
  <si>
    <t>1 chip per devkit; early bird</t>
  </si>
  <si>
    <t>eeNews Europe: Tiny Tapeout pasca Efabless (harga €70/petak, €300/devkit)</t>
  </si>
  <si>
    <t>https://www.eenewseurope.com/en/tiny-tapeout-sees-industrial-boost-as-it-recovers-from-efabless-closure/</t>
  </si>
  <si>
    <t>Konfirmasi €70/petak dan €300/devkit</t>
  </si>
  <si>
    <t>https://news.ddtc.co.id/berita/nasional/1808844/tarif-bea-masuk-produk-tertentu-disederhanakan-pelayanan-lebih-cepat</t>
  </si>
  <si>
    <t>Bea masuk 7,5% barang kiriman</t>
  </si>
  <si>
    <t>JDIH Kemenkeu: PMK 50 Tahun 2026 (perubahan tarif, isi belum diperiksa)</t>
  </si>
  <si>
    <t>https://jdih.kemenkeu.go.id/dok/pmk-50-tahun-2026/overview</t>
  </si>
  <si>
    <t>Perubahan tarif 2026 (perlu dicek)</t>
  </si>
  <si>
    <t>https://www.dhl.com/discover/en-id/logistics-advice/import-export-advice/2026-de-minimis-shipping-rules</t>
  </si>
  <si>
    <t>Ambang de minimis USD 3</t>
  </si>
  <si>
    <t>https://www.janio.asia/resources/articles/tackling-indonesian-customs-clearance-procedures-for-ecommerce-merchants</t>
  </si>
  <si>
    <t>PPN 11%, PPh 10%/20%</t>
  </si>
  <si>
    <t>https://id.tradingeconomics.com/euridr:cur</t>
  </si>
  <si>
    <t>Kurs EUR/IDR</t>
  </si>
  <si>
    <t>https://jlcpcb.com/</t>
  </si>
  <si>
    <t>PCB adapter</t>
  </si>
  <si>
    <t>docs/matcher_mini_chain.md</t>
  </si>
  <si>
    <t>Kebutuhan interface</t>
  </si>
  <si>
    <t>asic/tt/info.yaml</t>
  </si>
  <si>
    <t>Ukuran desain</t>
  </si>
  <si>
    <t>Diakses 14 Oktober 2026. Harga Tiny Tapeout dapat berubah; konfirmasi di kalkulator saat memesan.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</si>
</sst>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€&quot;#,##0;\(&quot;€&quot;#,##0\);&quot;-&quot;"/>
    <numFmt numFmtId="165" formatCode="#,##0;\(#,##0\);&quot;-&quot;"/>
    <numFmt numFmtId="166" formatCode="0.0%;\(0.0%\);&quot;-&quot;"/>
    <numFmt numFmtId="167" formatCode="&quot;Rp &quot;#,##0;\(&quot;Rp &quot;#,##0\);&quot;-&quot;"/>
  </numFmts>
  <fonts count="11" x14ac:knownFonts="1">
    <font>
      <sz val="11"/>
      <color theme="1"/>
      <name val="Calibri"/>
      <family val="2"/>
      <scheme val="minor"/>
    </font>
    <font>
      <b/>
      <sz val="13"/>
      <color rgb="FF000000"/>
      <name val="Arial"/>
    </font>
    <font>
      <sz val="9"/>
      <color rgb="FF000000"/>
      <name val="Arial"/>
    </font>
    <font>
      <b/>
      <sz val="10"/>
      <color rgb="FFFFFFFF"/>
      <name val="Arial"/>
    </font>
    <font>
      <sz val="10"/>
      <color rgb="FF0000FF"/>
      <name val="Arial"/>
    </font>
    <font>
      <u/>
      <sz val="10"/>
      <color rgb="FF0563C1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8000"/>
      <name val="Arial"/>
    </font>
    <font>
      <b/>
      <sz val="11"/>
      <color rgb="FF000000"/>
      <name val="Arial"/>
    </font>
    <font>
      <b/>
      <sz val="11"/>
      <color rgb="FF008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E2EFDA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164" fontId="4" fillId="3" borderId="1" xfId="0" applyNumberFormat="1" applyFont="1" applyFill="1" applyBorder="1"/>
    <xf numFmtId="0" fontId="5" fillId="0" borderId="1" xfId="0" applyFont="1" applyBorder="1"/>
    <xf numFmtId="165" fontId="4" fillId="3" borderId="1" xfId="0" applyNumberFormat="1" applyFont="1" applyFill="1" applyBorder="1"/>
    <xf numFmtId="0" fontId="6" fillId="0" borderId="1" xfId="0" applyFont="1" applyBorder="1"/>
    <xf numFmtId="166" fontId="4" fillId="3" borderId="1" xfId="0" applyNumberFormat="1" applyFont="1" applyFill="1" applyBorder="1"/>
    <xf numFmtId="0" fontId="0" fillId="0" borderId="1" xfId="0" applyBorder="1"/>
    <xf numFmtId="0" fontId="7" fillId="0" borderId="1" xfId="0" applyFont="1" applyBorder="1"/>
    <xf numFmtId="165" fontId="7" fillId="4" borderId="1" xfId="0" applyNumberFormat="1" applyFont="1" applyFill="1" applyBorder="1"/>
    <xf numFmtId="0" fontId="7" fillId="0" borderId="0" xfId="0" applyFont="1"/>
    <xf numFmtId="167" fontId="4" fillId="3" borderId="1" xfId="0" applyNumberFormat="1" applyFont="1" applyFill="1" applyBorder="1"/>
    <xf numFmtId="0" fontId="4" fillId="0" borderId="1" xfId="0" applyFont="1" applyBorder="1"/>
    <xf numFmtId="167" fontId="7" fillId="4" borderId="0" xfId="0" applyNumberFormat="1" applyFont="1" applyFill="1"/>
    <xf numFmtId="167" fontId="8" fillId="0" borderId="1" xfId="0" applyNumberFormat="1" applyFont="1" applyBorder="1"/>
    <xf numFmtId="167" fontId="6" fillId="0" borderId="1" xfId="0" applyNumberFormat="1" applyFont="1" applyBorder="1"/>
    <xf numFmtId="0" fontId="9" fillId="4" borderId="1" xfId="0" applyFont="1" applyFill="1" applyBorder="1"/>
    <xf numFmtId="167" fontId="10" fillId="4" borderId="1" xfId="0" applyNumberFormat="1" applyFont="1" applyFill="1" applyBorder="1"/>
    <xf numFmtId="167" fontId="9" fillId="4" borderId="1" xfId="0" applyNumberFormat="1" applyFont="1" applyFill="1" applyBorder="1"/>
    <xf numFmtId="0" fontId="8" fillId="0" borderId="1" xfId="0" applyFont="1" applyBorder="1"/>
    <xf numFmtId="164" fontId="6" fillId="0" borderId="1" xfId="0" applyNumberFormat="1" applyFont="1" applyBorder="1"/>
    <xf numFmtId="0" fontId="7" fillId="5" borderId="1" xfId="0" applyFont="1" applyFill="1" applyBorder="1" applyAlignment="1">
      <alignment vertical="top" wrapText="1"/>
    </xf>
    <xf numFmtId="164" fontId="7" fillId="5" borderId="1" xfId="0" applyNumberFormat="1" applyFont="1" applyFill="1" applyBorder="1"/>
    <xf numFmtId="167" fontId="7" fillId="5" borderId="1" xfId="0" applyNumberFormat="1" applyFont="1" applyFill="1" applyBorder="1"/>
    <xf numFmtId="0" fontId="7" fillId="4" borderId="1" xfId="0" applyFont="1" applyFill="1" applyBorder="1" applyAlignment="1">
      <alignment vertical="top" wrapText="1"/>
    </xf>
    <xf numFmtId="167" fontId="7" fillId="4" borderId="1" xfId="0" applyNumberFormat="1" applyFont="1" applyFill="1" applyBorder="1"/>
    <xf numFmtId="164" fontId="7" fillId="4" borderId="1" xfId="0" applyNumberFormat="1" applyFont="1" applyFill="1" applyBorder="1"/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janio.asia/resources/articles/tackling-indonesian-customs-clearance-procedures-for-ecommerce-merchants" TargetMode="External"/><Relationship Id="rId3" Type="http://schemas.openxmlformats.org/officeDocument/2006/relationships/hyperlink" Target="https://app.tinytapeout.com/calculator?tiles=1&amp;pcbs=1" TargetMode="External"/><Relationship Id="rId7" Type="http://schemas.openxmlformats.org/officeDocument/2006/relationships/hyperlink" Target="https://www.janio.asia/resources/articles/tackling-indonesian-customs-clearance-procedures-for-ecommerce-merchants" TargetMode="External"/><Relationship Id="rId2" Type="http://schemas.openxmlformats.org/officeDocument/2006/relationships/hyperlink" Target="https://app.tinytapeout.com/calculator?tiles=1&amp;pcbs=1" TargetMode="External"/><Relationship Id="rId1" Type="http://schemas.openxmlformats.org/officeDocument/2006/relationships/hyperlink" Target="https://app.tinytapeout.com/calculator?tiles=1&amp;pcbs=1" TargetMode="External"/><Relationship Id="rId6" Type="http://schemas.openxmlformats.org/officeDocument/2006/relationships/hyperlink" Target="https://www.janio.asia/resources/articles/tackling-indonesian-customs-clearance-procedures-for-ecommerce-merchants" TargetMode="External"/><Relationship Id="rId11" Type="http://schemas.openxmlformats.org/officeDocument/2006/relationships/hyperlink" Target="https://jlcpcb.com/" TargetMode="External"/><Relationship Id="rId5" Type="http://schemas.openxmlformats.org/officeDocument/2006/relationships/hyperlink" Target="https://news.ddtc.co.id/berita/nasional/1808844/tarif-bea-masuk-produk-tertentu-disederhanakan-pelayanan-lebih-cepat" TargetMode="External"/><Relationship Id="rId10" Type="http://schemas.openxmlformats.org/officeDocument/2006/relationships/hyperlink" Target="https://jlcpcb.com/" TargetMode="External"/><Relationship Id="rId4" Type="http://schemas.openxmlformats.org/officeDocument/2006/relationships/hyperlink" Target="https://id.tradingeconomics.com/euridr:cur" TargetMode="External"/><Relationship Id="rId9" Type="http://schemas.openxmlformats.org/officeDocument/2006/relationships/hyperlink" Target="https://www.dhl.com/discover/en-id/logistics-advice/import-export-advice/2026-de-minimis-shipping-rules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janio.asia/resources/articles/tackling-indonesian-customs-clearance-procedures-for-ecommerce-merchants" TargetMode="External"/><Relationship Id="rId3" Type="http://schemas.openxmlformats.org/officeDocument/2006/relationships/hyperlink" Target="https://tinytapeout.com/faq/" TargetMode="External"/><Relationship Id="rId7" Type="http://schemas.openxmlformats.org/officeDocument/2006/relationships/hyperlink" Target="https://www.dhl.com/discover/en-id/logistics-advice/import-export-advice/2026-de-minimis-shipping-rules" TargetMode="External"/><Relationship Id="rId2" Type="http://schemas.openxmlformats.org/officeDocument/2006/relationships/hyperlink" Target="https://tinytapeout.com/chips/" TargetMode="External"/><Relationship Id="rId1" Type="http://schemas.openxmlformats.org/officeDocument/2006/relationships/hyperlink" Target="https://app.tinytapeout.com/calculator?tiles=1&amp;pcbs=1" TargetMode="External"/><Relationship Id="rId6" Type="http://schemas.openxmlformats.org/officeDocument/2006/relationships/hyperlink" Target="https://jdih.kemenkeu.go.id/dok/pmk-50-tahun-2026/overview" TargetMode="External"/><Relationship Id="rId5" Type="http://schemas.openxmlformats.org/officeDocument/2006/relationships/hyperlink" Target="https://news.ddtc.co.id/berita/nasional/1808844/tarif-bea-masuk-produk-tertentu-disederhanakan-pelayanan-lebih-cepat" TargetMode="External"/><Relationship Id="rId10" Type="http://schemas.openxmlformats.org/officeDocument/2006/relationships/hyperlink" Target="https://jlcpcb.com/" TargetMode="External"/><Relationship Id="rId4" Type="http://schemas.openxmlformats.org/officeDocument/2006/relationships/hyperlink" Target="https://www.eenewseurope.com/en/tiny-tapeout-sees-industrial-boost-as-it-recovers-from-efabless-closure/" TargetMode="External"/><Relationship Id="rId9" Type="http://schemas.openxmlformats.org/officeDocument/2006/relationships/hyperlink" Target="https://id.tradingeconomics.com/euridr:cu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showGridLines="0" tabSelected="1" workbookViewId="0"/>
  </sheetViews>
  <sheetFormatPr defaultRowHeight="14.4" x14ac:dyDescent="0.3"/>
  <cols>
    <col min="1" max="1" width="44" customWidth="1"/>
    <col min="2" max="2" width="14" customWidth="1"/>
    <col min="3" max="3" width="12" customWidth="1"/>
    <col min="4" max="4" width="62" customWidth="1"/>
    <col min="5" max="5" width="70" customWidth="1"/>
  </cols>
  <sheetData>
    <row r="1" spans="1:5" ht="16.8" x14ac:dyDescent="0.3">
      <c r="A1" s="1" t="s">
        <v>0</v>
      </c>
    </row>
    <row r="2" spans="1:5" x14ac:dyDescent="0.3">
      <c r="A2" s="2" t="s">
        <v>1</v>
      </c>
    </row>
    <row r="4" spans="1:5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6.4" x14ac:dyDescent="0.3">
      <c r="A5" s="4" t="s">
        <v>7</v>
      </c>
      <c r="B5" s="5">
        <v>70</v>
      </c>
      <c r="C5" s="4" t="s">
        <v>8</v>
      </c>
      <c r="D5" s="4" t="s">
        <v>9</v>
      </c>
      <c r="E5" s="6" t="s">
        <v>10</v>
      </c>
    </row>
    <row r="6" spans="1:5" x14ac:dyDescent="0.3">
      <c r="A6" s="4" t="s">
        <v>11</v>
      </c>
      <c r="B6" s="7">
        <v>8</v>
      </c>
      <c r="C6" s="4" t="s">
        <v>12</v>
      </c>
      <c r="D6" s="4" t="s">
        <v>13</v>
      </c>
      <c r="E6" s="8" t="s">
        <v>14</v>
      </c>
    </row>
    <row r="7" spans="1:5" x14ac:dyDescent="0.3">
      <c r="A7" s="4" t="s">
        <v>15</v>
      </c>
      <c r="B7" s="5">
        <v>300</v>
      </c>
      <c r="C7" s="4" t="s">
        <v>8</v>
      </c>
      <c r="D7" s="4" t="s">
        <v>16</v>
      </c>
      <c r="E7" s="6" t="s">
        <v>10</v>
      </c>
    </row>
    <row r="8" spans="1:5" ht="26.4" x14ac:dyDescent="0.3">
      <c r="A8" s="4" t="s">
        <v>17</v>
      </c>
      <c r="B8" s="5">
        <v>15</v>
      </c>
      <c r="C8" s="4" t="s">
        <v>8</v>
      </c>
      <c r="D8" s="4" t="s">
        <v>18</v>
      </c>
      <c r="E8" s="6" t="s">
        <v>10</v>
      </c>
    </row>
    <row r="9" spans="1:5" ht="26.4" x14ac:dyDescent="0.3">
      <c r="A9" s="4" t="s">
        <v>19</v>
      </c>
      <c r="B9" s="7">
        <v>20500</v>
      </c>
      <c r="C9" s="4" t="s">
        <v>20</v>
      </c>
      <c r="D9" s="4" t="s">
        <v>21</v>
      </c>
      <c r="E9" s="6" t="s">
        <v>22</v>
      </c>
    </row>
    <row r="10" spans="1:5" ht="26.4" x14ac:dyDescent="0.3">
      <c r="A10" s="4" t="s">
        <v>23</v>
      </c>
      <c r="B10" s="9">
        <v>7.4999999999999997E-2</v>
      </c>
      <c r="C10" s="4"/>
      <c r="D10" s="4" t="s">
        <v>24</v>
      </c>
      <c r="E10" s="6" t="s">
        <v>25</v>
      </c>
    </row>
    <row r="11" spans="1:5" x14ac:dyDescent="0.3">
      <c r="A11" s="4" t="s">
        <v>26</v>
      </c>
      <c r="B11" s="9">
        <v>0.11</v>
      </c>
      <c r="C11" s="4"/>
      <c r="D11" s="4" t="s">
        <v>27</v>
      </c>
      <c r="E11" s="6" t="s">
        <v>28</v>
      </c>
    </row>
    <row r="12" spans="1:5" x14ac:dyDescent="0.3">
      <c r="A12" s="4" t="s">
        <v>29</v>
      </c>
      <c r="B12" s="9">
        <v>0.1</v>
      </c>
      <c r="C12" s="4"/>
      <c r="D12" s="4" t="s">
        <v>30</v>
      </c>
      <c r="E12" s="6" t="s">
        <v>28</v>
      </c>
    </row>
    <row r="13" spans="1:5" x14ac:dyDescent="0.3">
      <c r="A13" s="4" t="s">
        <v>31</v>
      </c>
      <c r="B13" s="9">
        <v>0.2</v>
      </c>
      <c r="C13" s="4"/>
      <c r="D13" s="4" t="s">
        <v>32</v>
      </c>
      <c r="E13" s="6" t="s">
        <v>28</v>
      </c>
    </row>
    <row r="14" spans="1:5" x14ac:dyDescent="0.3">
      <c r="A14" s="4" t="s">
        <v>33</v>
      </c>
      <c r="B14" s="9">
        <v>0.03</v>
      </c>
      <c r="C14" s="4"/>
      <c r="D14" s="4" t="s">
        <v>34</v>
      </c>
      <c r="E14" s="10"/>
    </row>
    <row r="15" spans="1:5" x14ac:dyDescent="0.3">
      <c r="A15" s="4" t="s">
        <v>35</v>
      </c>
      <c r="B15" s="7">
        <v>3</v>
      </c>
      <c r="C15" s="4" t="s">
        <v>36</v>
      </c>
      <c r="D15" s="4" t="s">
        <v>37</v>
      </c>
      <c r="E15" s="6" t="s">
        <v>38</v>
      </c>
    </row>
    <row r="16" spans="1:5" ht="26.4" x14ac:dyDescent="0.3">
      <c r="A16" s="4" t="s">
        <v>39</v>
      </c>
      <c r="B16" s="9">
        <v>0.05</v>
      </c>
      <c r="C16" s="4"/>
      <c r="D16" s="4" t="s">
        <v>40</v>
      </c>
      <c r="E16" s="10"/>
    </row>
    <row r="17" spans="1:5" x14ac:dyDescent="0.3">
      <c r="A17" s="11" t="s">
        <v>41</v>
      </c>
      <c r="B17" s="12">
        <f>B9*(1+B16)</f>
        <v>21525</v>
      </c>
      <c r="C17" s="8" t="s">
        <v>20</v>
      </c>
      <c r="D17" s="8" t="s">
        <v>42</v>
      </c>
      <c r="E17" s="8"/>
    </row>
    <row r="19" spans="1:5" x14ac:dyDescent="0.3">
      <c r="A19" s="13" t="s">
        <v>43</v>
      </c>
    </row>
    <row r="20" spans="1:5" x14ac:dyDescent="0.3">
      <c r="A20" s="3" t="s">
        <v>44</v>
      </c>
      <c r="B20" s="3" t="s">
        <v>45</v>
      </c>
      <c r="C20" s="3" t="s">
        <v>46</v>
      </c>
      <c r="D20" s="3" t="s">
        <v>5</v>
      </c>
      <c r="E20" s="3" t="s">
        <v>6</v>
      </c>
    </row>
    <row r="21" spans="1:5" ht="26.4" x14ac:dyDescent="0.3">
      <c r="A21" s="4" t="s">
        <v>47</v>
      </c>
      <c r="B21" s="14">
        <v>100000</v>
      </c>
      <c r="C21" s="15">
        <v>1</v>
      </c>
      <c r="D21" s="4" t="s">
        <v>48</v>
      </c>
      <c r="E21" s="6" t="s">
        <v>49</v>
      </c>
    </row>
    <row r="22" spans="1:5" x14ac:dyDescent="0.3">
      <c r="A22" s="4" t="s">
        <v>50</v>
      </c>
      <c r="B22" s="14">
        <v>275000</v>
      </c>
      <c r="C22" s="15">
        <v>1</v>
      </c>
      <c r="D22" s="4" t="s">
        <v>51</v>
      </c>
      <c r="E22" s="6" t="s">
        <v>49</v>
      </c>
    </row>
    <row r="23" spans="1:5" x14ac:dyDescent="0.3">
      <c r="A23" s="4" t="s">
        <v>52</v>
      </c>
      <c r="B23" s="14">
        <v>50000</v>
      </c>
      <c r="C23" s="15">
        <v>1</v>
      </c>
      <c r="D23" s="4" t="s">
        <v>53</v>
      </c>
      <c r="E23" s="10"/>
    </row>
    <row r="24" spans="1:5" x14ac:dyDescent="0.3">
      <c r="A24" s="4" t="s">
        <v>54</v>
      </c>
      <c r="B24" s="14">
        <v>10000</v>
      </c>
      <c r="C24" s="15">
        <v>1</v>
      </c>
      <c r="D24" s="4" t="s">
        <v>55</v>
      </c>
      <c r="E24" s="8" t="s">
        <v>56</v>
      </c>
    </row>
    <row r="25" spans="1:5" x14ac:dyDescent="0.3">
      <c r="A25" s="4" t="s">
        <v>57</v>
      </c>
      <c r="B25" s="14">
        <v>25000</v>
      </c>
      <c r="C25" s="15">
        <v>1</v>
      </c>
      <c r="D25" s="4" t="s">
        <v>53</v>
      </c>
      <c r="E25" s="10"/>
    </row>
    <row r="26" spans="1:5" ht="26.4" x14ac:dyDescent="0.3">
      <c r="A26" s="4" t="s">
        <v>58</v>
      </c>
      <c r="B26" s="14">
        <v>200000</v>
      </c>
      <c r="C26" s="15">
        <v>0</v>
      </c>
      <c r="D26" s="4" t="s">
        <v>59</v>
      </c>
      <c r="E26" s="8" t="s">
        <v>56</v>
      </c>
    </row>
    <row r="27" spans="1:5" x14ac:dyDescent="0.3">
      <c r="A27" s="13" t="s">
        <v>60</v>
      </c>
      <c r="B27" s="16">
        <f>SUMPRODUCT(B21:B26,C21:C26)</f>
        <v>460000</v>
      </c>
    </row>
    <row r="28" spans="1:5" x14ac:dyDescent="0.3">
      <c r="A28" s="13" t="s">
        <v>61</v>
      </c>
      <c r="B28" s="16">
        <f>SUM(B21:B26)</f>
        <v>660000</v>
      </c>
    </row>
  </sheetData>
  <hyperlinks>
    <hyperlink ref="E5" r:id="rId1" xr:uid="{00000000-0004-0000-0000-000000000000}"/>
    <hyperlink ref="E7" r:id="rId2" xr:uid="{00000000-0004-0000-0000-000001000000}"/>
    <hyperlink ref="E8" r:id="rId3" xr:uid="{00000000-0004-0000-0000-000002000000}"/>
    <hyperlink ref="E9" r:id="rId4" xr:uid="{00000000-0004-0000-0000-000003000000}"/>
    <hyperlink ref="E10" r:id="rId5" xr:uid="{00000000-0004-0000-0000-000004000000}"/>
    <hyperlink ref="E11" r:id="rId6" xr:uid="{00000000-0004-0000-0000-000005000000}"/>
    <hyperlink ref="E12" r:id="rId7" xr:uid="{00000000-0004-0000-0000-000006000000}"/>
    <hyperlink ref="E13" r:id="rId8" xr:uid="{00000000-0004-0000-0000-000007000000}"/>
    <hyperlink ref="E15" r:id="rId9" xr:uid="{00000000-0004-0000-0000-000008000000}"/>
    <hyperlink ref="E21" r:id="rId10" xr:uid="{00000000-0004-0000-0000-000009000000}"/>
    <hyperlink ref="E22" r:id="rId11" xr:uid="{00000000-0004-0000-0000-00000A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showGridLines="0" workbookViewId="0"/>
  </sheetViews>
  <sheetFormatPr defaultRowHeight="14.4" x14ac:dyDescent="0.3"/>
  <cols>
    <col min="1" max="1" width="44" customWidth="1"/>
    <col min="2" max="4" width="18" customWidth="1"/>
  </cols>
  <sheetData>
    <row r="1" spans="1:4" ht="16.8" x14ac:dyDescent="0.3">
      <c r="A1" s="1" t="s">
        <v>62</v>
      </c>
    </row>
    <row r="3" spans="1:4" x14ac:dyDescent="0.3">
      <c r="A3" s="3" t="s">
        <v>63</v>
      </c>
      <c r="B3" s="3" t="s">
        <v>64</v>
      </c>
      <c r="C3" s="3" t="s">
        <v>65</v>
      </c>
      <c r="D3" s="3" t="s">
        <v>66</v>
      </c>
    </row>
    <row r="4" spans="1:4" x14ac:dyDescent="0.3">
      <c r="A4" s="8" t="s">
        <v>67</v>
      </c>
      <c r="B4" s="17">
        <f>'1 IC'!D8</f>
        <v>18834375</v>
      </c>
      <c r="C4" s="17">
        <f>'2 IC'!D8</f>
        <v>25614750</v>
      </c>
      <c r="D4" s="18">
        <f t="shared" ref="D4:D10" si="0">C4-B4</f>
        <v>6780375</v>
      </c>
    </row>
    <row r="5" spans="1:4" x14ac:dyDescent="0.3">
      <c r="A5" s="8" t="s">
        <v>68</v>
      </c>
      <c r="B5" s="17">
        <f>SUM('1 IC'!D10:D12)</f>
        <v>2039197.78125</v>
      </c>
      <c r="C5" s="17">
        <f>SUM('2 IC'!D10:D12)</f>
        <v>4078395.5625</v>
      </c>
      <c r="D5" s="18">
        <f t="shared" si="0"/>
        <v>2039197.78125</v>
      </c>
    </row>
    <row r="6" spans="1:4" x14ac:dyDescent="0.3">
      <c r="A6" s="8" t="s">
        <v>69</v>
      </c>
      <c r="B6" s="17">
        <f>'1 IC'!D13</f>
        <v>565031.25</v>
      </c>
      <c r="C6" s="17">
        <f>'2 IC'!D13</f>
        <v>768442.5</v>
      </c>
      <c r="D6" s="18">
        <f t="shared" si="0"/>
        <v>203411.25</v>
      </c>
    </row>
    <row r="7" spans="1:4" x14ac:dyDescent="0.3">
      <c r="A7" s="8" t="s">
        <v>70</v>
      </c>
      <c r="B7" s="17">
        <f>'1 IC'!D14</f>
        <v>460000</v>
      </c>
      <c r="C7" s="17">
        <f>'2 IC'!D14</f>
        <v>660000</v>
      </c>
      <c r="D7" s="18">
        <f t="shared" si="0"/>
        <v>200000</v>
      </c>
    </row>
    <row r="8" spans="1:4" x14ac:dyDescent="0.3">
      <c r="A8" s="19" t="s">
        <v>71</v>
      </c>
      <c r="B8" s="20">
        <f>'1 IC'!D16</f>
        <v>21898604.03125</v>
      </c>
      <c r="C8" s="20">
        <f>'2 IC'!D16</f>
        <v>31121588.0625</v>
      </c>
      <c r="D8" s="21">
        <f t="shared" si="0"/>
        <v>9222984.03125</v>
      </c>
    </row>
    <row r="9" spans="1:4" x14ac:dyDescent="0.3">
      <c r="A9" s="19" t="s">
        <v>72</v>
      </c>
      <c r="B9" s="20">
        <f>'1 IC'!D17</f>
        <v>22627494.34375</v>
      </c>
      <c r="C9" s="20">
        <f>'2 IC'!D17</f>
        <v>32579368.6875</v>
      </c>
      <c r="D9" s="21">
        <f t="shared" si="0"/>
        <v>9951874.34375</v>
      </c>
    </row>
    <row r="10" spans="1:4" x14ac:dyDescent="0.3">
      <c r="A10" s="8" t="s">
        <v>73</v>
      </c>
      <c r="B10" s="17">
        <f>'1 IC'!D19</f>
        <v>1020885.90625</v>
      </c>
      <c r="C10" s="17">
        <f>'2 IC'!D19</f>
        <v>1450551.8125</v>
      </c>
      <c r="D10" s="18">
        <f t="shared" si="0"/>
        <v>429665.90625</v>
      </c>
    </row>
    <row r="12" spans="1:4" x14ac:dyDescent="0.3">
      <c r="A12" s="30" t="s">
        <v>74</v>
      </c>
      <c r="B12" s="31"/>
      <c r="C12" s="31"/>
      <c r="D12" s="31"/>
    </row>
    <row r="13" spans="1:4" x14ac:dyDescent="0.3">
      <c r="A13" s="31"/>
      <c r="B13" s="31"/>
      <c r="C13" s="31"/>
      <c r="D13" s="31"/>
    </row>
  </sheetData>
  <mergeCells count="1">
    <mergeCell ref="A12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showGridLines="0" workbookViewId="0"/>
  </sheetViews>
  <sheetFormatPr defaultRowHeight="14.4" x14ac:dyDescent="0.3"/>
  <cols>
    <col min="1" max="1" width="52" customWidth="1"/>
    <col min="2" max="2" width="10" customWidth="1"/>
    <col min="3" max="3" width="12" customWidth="1"/>
    <col min="4" max="4" width="18" customWidth="1"/>
    <col min="5" max="5" width="60" customWidth="1"/>
  </cols>
  <sheetData>
    <row r="1" spans="1:5" ht="16.8" x14ac:dyDescent="0.3">
      <c r="A1" s="1" t="s">
        <v>75</v>
      </c>
    </row>
    <row r="2" spans="1:5" x14ac:dyDescent="0.3">
      <c r="A2" s="2" t="s">
        <v>76</v>
      </c>
    </row>
    <row r="4" spans="1:5" x14ac:dyDescent="0.3">
      <c r="A4" s="3" t="s">
        <v>63</v>
      </c>
      <c r="B4" s="3" t="s">
        <v>77</v>
      </c>
      <c r="C4" s="3" t="s">
        <v>8</v>
      </c>
      <c r="D4" s="3" t="s">
        <v>78</v>
      </c>
      <c r="E4" s="3" t="s">
        <v>79</v>
      </c>
    </row>
    <row r="5" spans="1:5" x14ac:dyDescent="0.3">
      <c r="A5" s="4" t="s">
        <v>80</v>
      </c>
      <c r="B5" s="22">
        <f>Asumsi!$B$6</f>
        <v>8</v>
      </c>
      <c r="C5" s="23">
        <f>B5*Asumsi!$B$5</f>
        <v>560</v>
      </c>
      <c r="D5" s="18">
        <f>C5*Asumsi!$B$17</f>
        <v>12054000</v>
      </c>
      <c r="E5" s="4" t="s">
        <v>81</v>
      </c>
    </row>
    <row r="6" spans="1:5" x14ac:dyDescent="0.3">
      <c r="A6" s="4" t="s">
        <v>82</v>
      </c>
      <c r="B6" s="15">
        <v>1</v>
      </c>
      <c r="C6" s="23">
        <f>B6*Asumsi!$B$7</f>
        <v>300</v>
      </c>
      <c r="D6" s="18">
        <f>C6*Asumsi!$B$17</f>
        <v>6457500</v>
      </c>
      <c r="E6" s="4" t="s">
        <v>83</v>
      </c>
    </row>
    <row r="7" spans="1:5" x14ac:dyDescent="0.3">
      <c r="A7" s="4" t="s">
        <v>84</v>
      </c>
      <c r="B7" s="15">
        <v>1</v>
      </c>
      <c r="C7" s="23">
        <f>B7*Asumsi!$B$8</f>
        <v>15</v>
      </c>
      <c r="D7" s="18">
        <f>C7*Asumsi!$B$17</f>
        <v>322875</v>
      </c>
      <c r="E7" s="4" t="s">
        <v>85</v>
      </c>
    </row>
    <row r="8" spans="1:5" x14ac:dyDescent="0.3">
      <c r="A8" s="24" t="s">
        <v>86</v>
      </c>
      <c r="B8" s="8"/>
      <c r="C8" s="25">
        <f>SUM(C5:C7)</f>
        <v>875</v>
      </c>
      <c r="D8" s="26">
        <f>SUM(D5:D7)</f>
        <v>18834375</v>
      </c>
      <c r="E8" s="4"/>
    </row>
    <row r="9" spans="1:5" ht="26.4" x14ac:dyDescent="0.3">
      <c r="A9" s="4" t="s">
        <v>87</v>
      </c>
      <c r="B9" s="8"/>
      <c r="C9" s="8"/>
      <c r="D9" s="18">
        <f>D6+D7</f>
        <v>6780375</v>
      </c>
      <c r="E9" s="4"/>
    </row>
    <row r="10" spans="1:5" x14ac:dyDescent="0.3">
      <c r="A10" s="4" t="s">
        <v>88</v>
      </c>
      <c r="B10" s="8"/>
      <c r="C10" s="8"/>
      <c r="D10" s="18">
        <f>D9*Asumsi!$B$10</f>
        <v>508528.125</v>
      </c>
      <c r="E10" s="4" t="s">
        <v>89</v>
      </c>
    </row>
    <row r="11" spans="1:5" x14ac:dyDescent="0.3">
      <c r="A11" s="4" t="s">
        <v>26</v>
      </c>
      <c r="B11" s="8"/>
      <c r="C11" s="8"/>
      <c r="D11" s="18">
        <f>(D9+D10)*Asumsi!$B$11</f>
        <v>801779.34375</v>
      </c>
      <c r="E11" s="4" t="s">
        <v>90</v>
      </c>
    </row>
    <row r="12" spans="1:5" x14ac:dyDescent="0.3">
      <c r="A12" s="4" t="s">
        <v>91</v>
      </c>
      <c r="B12" s="8"/>
      <c r="C12" s="8"/>
      <c r="D12" s="18">
        <f>(D9+D10)*Asumsi!$B$12</f>
        <v>728890.3125</v>
      </c>
      <c r="E12" s="4" t="s">
        <v>90</v>
      </c>
    </row>
    <row r="13" spans="1:5" x14ac:dyDescent="0.3">
      <c r="A13" s="4" t="s">
        <v>33</v>
      </c>
      <c r="B13" s="8"/>
      <c r="C13" s="8"/>
      <c r="D13" s="18">
        <f>D8*Asumsi!$B$14</f>
        <v>565031.25</v>
      </c>
      <c r="E13" s="4" t="s">
        <v>92</v>
      </c>
    </row>
    <row r="14" spans="1:5" x14ac:dyDescent="0.3">
      <c r="A14" s="4" t="s">
        <v>93</v>
      </c>
      <c r="B14" s="8"/>
      <c r="C14" s="8"/>
      <c r="D14" s="18">
        <f>Asumsi!$B$27</f>
        <v>460000</v>
      </c>
      <c r="E14" s="4" t="s">
        <v>94</v>
      </c>
    </row>
    <row r="15" spans="1:5" x14ac:dyDescent="0.3">
      <c r="A15" s="4"/>
      <c r="B15" s="8"/>
      <c r="C15" s="8"/>
      <c r="D15" s="8"/>
      <c r="E15" s="4"/>
    </row>
    <row r="16" spans="1:5" x14ac:dyDescent="0.3">
      <c r="A16" s="27" t="s">
        <v>95</v>
      </c>
      <c r="B16" s="8"/>
      <c r="C16" s="8"/>
      <c r="D16" s="28">
        <f>D8+SUM(D10:D14)</f>
        <v>21898604.03125</v>
      </c>
      <c r="E16" s="4"/>
    </row>
    <row r="17" spans="1:5" x14ac:dyDescent="0.3">
      <c r="A17" s="27" t="s">
        <v>96</v>
      </c>
      <c r="B17" s="8"/>
      <c r="C17" s="8"/>
      <c r="D17" s="28">
        <f>D16-D12+(D9+D10)*Asumsi!$B$13</f>
        <v>22627494.34375</v>
      </c>
      <c r="E17" s="4"/>
    </row>
    <row r="18" spans="1:5" x14ac:dyDescent="0.3">
      <c r="A18" s="27" t="s">
        <v>97</v>
      </c>
      <c r="B18" s="8"/>
      <c r="C18" s="8"/>
      <c r="D18" s="29">
        <f>D16/Asumsi!$B$17</f>
        <v>1017.3567494192799</v>
      </c>
      <c r="E18" s="4"/>
    </row>
    <row r="19" spans="1:5" x14ac:dyDescent="0.3">
      <c r="A19" s="4" t="s">
        <v>98</v>
      </c>
      <c r="B19" s="8"/>
      <c r="C19" s="8"/>
      <c r="D19" s="18">
        <f>(D16-D14)*Asumsi!$B$16/(1+Asumsi!$B$16)</f>
        <v>1020885.90625</v>
      </c>
      <c r="E19" s="4"/>
    </row>
    <row r="21" spans="1:5" x14ac:dyDescent="0.3">
      <c r="A21" s="30" t="s">
        <v>99</v>
      </c>
      <c r="B21" s="31"/>
      <c r="C21" s="31"/>
      <c r="D21" s="31"/>
      <c r="E21" s="31"/>
    </row>
    <row r="22" spans="1:5" x14ac:dyDescent="0.3">
      <c r="A22" s="31"/>
      <c r="B22" s="31"/>
      <c r="C22" s="31"/>
      <c r="D22" s="31"/>
      <c r="E22" s="31"/>
    </row>
  </sheetData>
  <mergeCells count="1">
    <mergeCell ref="A21:E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showGridLines="0" workbookViewId="0"/>
  </sheetViews>
  <sheetFormatPr defaultRowHeight="14.4" x14ac:dyDescent="0.3"/>
  <cols>
    <col min="1" max="1" width="52" customWidth="1"/>
    <col min="2" max="2" width="10" customWidth="1"/>
    <col min="3" max="3" width="12" customWidth="1"/>
    <col min="4" max="4" width="18" customWidth="1"/>
    <col min="5" max="5" width="60" customWidth="1"/>
  </cols>
  <sheetData>
    <row r="1" spans="1:5" ht="16.8" x14ac:dyDescent="0.3">
      <c r="A1" s="1" t="s">
        <v>100</v>
      </c>
    </row>
    <row r="2" spans="1:5" x14ac:dyDescent="0.3">
      <c r="A2" s="2" t="s">
        <v>76</v>
      </c>
    </row>
    <row r="4" spans="1:5" x14ac:dyDescent="0.3">
      <c r="A4" s="3" t="s">
        <v>63</v>
      </c>
      <c r="B4" s="3" t="s">
        <v>77</v>
      </c>
      <c r="C4" s="3" t="s">
        <v>8</v>
      </c>
      <c r="D4" s="3" t="s">
        <v>78</v>
      </c>
      <c r="E4" s="3" t="s">
        <v>79</v>
      </c>
    </row>
    <row r="5" spans="1:5" x14ac:dyDescent="0.3">
      <c r="A5" s="4" t="s">
        <v>80</v>
      </c>
      <c r="B5" s="22">
        <f>Asumsi!$B$6</f>
        <v>8</v>
      </c>
      <c r="C5" s="23">
        <f>B5*Asumsi!$B$5</f>
        <v>560</v>
      </c>
      <c r="D5" s="18">
        <f>C5*Asumsi!$B$17</f>
        <v>12054000</v>
      </c>
      <c r="E5" s="4" t="s">
        <v>81</v>
      </c>
    </row>
    <row r="6" spans="1:5" x14ac:dyDescent="0.3">
      <c r="A6" s="4" t="s">
        <v>82</v>
      </c>
      <c r="B6" s="15">
        <v>2</v>
      </c>
      <c r="C6" s="23">
        <f>B6*Asumsi!$B$7</f>
        <v>600</v>
      </c>
      <c r="D6" s="18">
        <f>C6*Asumsi!$B$17</f>
        <v>12915000</v>
      </c>
      <c r="E6" s="4" t="s">
        <v>83</v>
      </c>
    </row>
    <row r="7" spans="1:5" x14ac:dyDescent="0.3">
      <c r="A7" s="4" t="s">
        <v>84</v>
      </c>
      <c r="B7" s="15">
        <v>2</v>
      </c>
      <c r="C7" s="23">
        <f>B7*Asumsi!$B$8</f>
        <v>30</v>
      </c>
      <c r="D7" s="18">
        <f>C7*Asumsi!$B$17</f>
        <v>645750</v>
      </c>
      <c r="E7" s="4" t="s">
        <v>85</v>
      </c>
    </row>
    <row r="8" spans="1:5" x14ac:dyDescent="0.3">
      <c r="A8" s="24" t="s">
        <v>86</v>
      </c>
      <c r="B8" s="8"/>
      <c r="C8" s="25">
        <f>SUM(C5:C7)</f>
        <v>1190</v>
      </c>
      <c r="D8" s="26">
        <f>SUM(D5:D7)</f>
        <v>25614750</v>
      </c>
      <c r="E8" s="4"/>
    </row>
    <row r="9" spans="1:5" ht="26.4" x14ac:dyDescent="0.3">
      <c r="A9" s="4" t="s">
        <v>87</v>
      </c>
      <c r="B9" s="8"/>
      <c r="C9" s="8"/>
      <c r="D9" s="18">
        <f>D6+D7</f>
        <v>13560750</v>
      </c>
      <c r="E9" s="4"/>
    </row>
    <row r="10" spans="1:5" x14ac:dyDescent="0.3">
      <c r="A10" s="4" t="s">
        <v>88</v>
      </c>
      <c r="B10" s="8"/>
      <c r="C10" s="8"/>
      <c r="D10" s="18">
        <f>D9*Asumsi!$B$10</f>
        <v>1017056.25</v>
      </c>
      <c r="E10" s="4" t="s">
        <v>89</v>
      </c>
    </row>
    <row r="11" spans="1:5" x14ac:dyDescent="0.3">
      <c r="A11" s="4" t="s">
        <v>26</v>
      </c>
      <c r="B11" s="8"/>
      <c r="C11" s="8"/>
      <c r="D11" s="18">
        <f>(D9+D10)*Asumsi!$B$11</f>
        <v>1603558.6875</v>
      </c>
      <c r="E11" s="4" t="s">
        <v>90</v>
      </c>
    </row>
    <row r="12" spans="1:5" x14ac:dyDescent="0.3">
      <c r="A12" s="4" t="s">
        <v>91</v>
      </c>
      <c r="B12" s="8"/>
      <c r="C12" s="8"/>
      <c r="D12" s="18">
        <f>(D9+D10)*Asumsi!$B$12</f>
        <v>1457780.625</v>
      </c>
      <c r="E12" s="4" t="s">
        <v>90</v>
      </c>
    </row>
    <row r="13" spans="1:5" x14ac:dyDescent="0.3">
      <c r="A13" s="4" t="s">
        <v>33</v>
      </c>
      <c r="B13" s="8"/>
      <c r="C13" s="8"/>
      <c r="D13" s="18">
        <f>D8*Asumsi!$B$14</f>
        <v>768442.5</v>
      </c>
      <c r="E13" s="4" t="s">
        <v>92</v>
      </c>
    </row>
    <row r="14" spans="1:5" x14ac:dyDescent="0.3">
      <c r="A14" s="4" t="s">
        <v>93</v>
      </c>
      <c r="B14" s="8"/>
      <c r="C14" s="8"/>
      <c r="D14" s="18">
        <f>Asumsi!$B$28</f>
        <v>660000</v>
      </c>
      <c r="E14" s="4" t="s">
        <v>94</v>
      </c>
    </row>
    <row r="15" spans="1:5" x14ac:dyDescent="0.3">
      <c r="A15" s="4"/>
      <c r="B15" s="8"/>
      <c r="C15" s="8"/>
      <c r="D15" s="8"/>
      <c r="E15" s="4"/>
    </row>
    <row r="16" spans="1:5" x14ac:dyDescent="0.3">
      <c r="A16" s="27" t="s">
        <v>95</v>
      </c>
      <c r="B16" s="8"/>
      <c r="C16" s="8"/>
      <c r="D16" s="28">
        <f>D8+SUM(D10:D14)</f>
        <v>31121588.0625</v>
      </c>
      <c r="E16" s="4"/>
    </row>
    <row r="17" spans="1:5" x14ac:dyDescent="0.3">
      <c r="A17" s="27" t="s">
        <v>96</v>
      </c>
      <c r="B17" s="8"/>
      <c r="C17" s="8"/>
      <c r="D17" s="28">
        <f>D16-D12+(D9+D10)*Asumsi!$B$13</f>
        <v>32579368.6875</v>
      </c>
      <c r="E17" s="4"/>
    </row>
    <row r="18" spans="1:5" x14ac:dyDescent="0.3">
      <c r="A18" s="27" t="s">
        <v>97</v>
      </c>
      <c r="B18" s="8"/>
      <c r="C18" s="8"/>
      <c r="D18" s="29">
        <f>D16/Asumsi!$B$17</f>
        <v>1445.8345209059235</v>
      </c>
      <c r="E18" s="4"/>
    </row>
    <row r="19" spans="1:5" x14ac:dyDescent="0.3">
      <c r="A19" s="4" t="s">
        <v>98</v>
      </c>
      <c r="B19" s="8"/>
      <c r="C19" s="8"/>
      <c r="D19" s="18">
        <f>(D16-D14)*Asumsi!$B$16/(1+Asumsi!$B$16)</f>
        <v>1450551.8125</v>
      </c>
      <c r="E19" s="4"/>
    </row>
    <row r="21" spans="1:5" x14ac:dyDescent="0.3">
      <c r="A21" s="30" t="s">
        <v>99</v>
      </c>
      <c r="B21" s="31"/>
      <c r="C21" s="31"/>
      <c r="D21" s="31"/>
      <c r="E21" s="31"/>
    </row>
    <row r="22" spans="1:5" x14ac:dyDescent="0.3">
      <c r="A22" s="31"/>
      <c r="B22" s="31"/>
      <c r="C22" s="31"/>
      <c r="D22" s="31"/>
      <c r="E22" s="31"/>
    </row>
  </sheetData>
  <mergeCells count="1">
    <mergeCell ref="A21:E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showGridLines="0" workbookViewId="0"/>
  </sheetViews>
  <sheetFormatPr defaultRowHeight="14.4" x14ac:dyDescent="0.3"/>
  <cols>
    <col min="1" max="1" width="62" customWidth="1"/>
    <col min="2" max="2" width="90" customWidth="1"/>
    <col min="3" max="3" width="50" customWidth="1"/>
  </cols>
  <sheetData>
    <row r="1" spans="1:3" ht="16.8" x14ac:dyDescent="0.3">
      <c r="A1" s="1" t="s">
        <v>101</v>
      </c>
    </row>
    <row r="3" spans="1:3" x14ac:dyDescent="0.3">
      <c r="A3" s="3" t="s">
        <v>6</v>
      </c>
      <c r="B3" s="3" t="s">
        <v>102</v>
      </c>
      <c r="C3" s="3" t="s">
        <v>103</v>
      </c>
    </row>
    <row r="4" spans="1:3" x14ac:dyDescent="0.3">
      <c r="A4" s="8" t="s">
        <v>10</v>
      </c>
      <c r="B4" s="6" t="s">
        <v>104</v>
      </c>
      <c r="C4" s="8" t="s">
        <v>105</v>
      </c>
    </row>
    <row r="5" spans="1:3" x14ac:dyDescent="0.3">
      <c r="A5" s="8" t="s">
        <v>106</v>
      </c>
      <c r="B5" s="6" t="s">
        <v>107</v>
      </c>
      <c r="C5" s="8" t="s">
        <v>108</v>
      </c>
    </row>
    <row r="6" spans="1:3" x14ac:dyDescent="0.3">
      <c r="A6" s="8" t="s">
        <v>109</v>
      </c>
      <c r="B6" s="6" t="s">
        <v>110</v>
      </c>
      <c r="C6" s="8" t="s">
        <v>111</v>
      </c>
    </row>
    <row r="7" spans="1:3" x14ac:dyDescent="0.3">
      <c r="A7" s="8" t="s">
        <v>112</v>
      </c>
      <c r="B7" s="6" t="s">
        <v>113</v>
      </c>
      <c r="C7" s="8" t="s">
        <v>114</v>
      </c>
    </row>
    <row r="8" spans="1:3" x14ac:dyDescent="0.3">
      <c r="A8" s="8" t="s">
        <v>25</v>
      </c>
      <c r="B8" s="6" t="s">
        <v>115</v>
      </c>
      <c r="C8" s="8" t="s">
        <v>116</v>
      </c>
    </row>
    <row r="9" spans="1:3" x14ac:dyDescent="0.3">
      <c r="A9" s="8" t="s">
        <v>117</v>
      </c>
      <c r="B9" s="6" t="s">
        <v>118</v>
      </c>
      <c r="C9" s="8" t="s">
        <v>119</v>
      </c>
    </row>
    <row r="10" spans="1:3" x14ac:dyDescent="0.3">
      <c r="A10" s="8" t="s">
        <v>38</v>
      </c>
      <c r="B10" s="6" t="s">
        <v>120</v>
      </c>
      <c r="C10" s="8" t="s">
        <v>121</v>
      </c>
    </row>
    <row r="11" spans="1:3" x14ac:dyDescent="0.3">
      <c r="A11" s="8" t="s">
        <v>28</v>
      </c>
      <c r="B11" s="6" t="s">
        <v>122</v>
      </c>
      <c r="C11" s="8" t="s">
        <v>123</v>
      </c>
    </row>
    <row r="12" spans="1:3" x14ac:dyDescent="0.3">
      <c r="A12" s="8" t="s">
        <v>22</v>
      </c>
      <c r="B12" s="6" t="s">
        <v>124</v>
      </c>
      <c r="C12" s="8" t="s">
        <v>125</v>
      </c>
    </row>
    <row r="13" spans="1:3" x14ac:dyDescent="0.3">
      <c r="A13" s="8" t="s">
        <v>49</v>
      </c>
      <c r="B13" s="6" t="s">
        <v>126</v>
      </c>
      <c r="C13" s="8" t="s">
        <v>127</v>
      </c>
    </row>
    <row r="14" spans="1:3" x14ac:dyDescent="0.3">
      <c r="A14" s="8" t="s">
        <v>56</v>
      </c>
      <c r="B14" s="8" t="s">
        <v>128</v>
      </c>
      <c r="C14" s="8" t="s">
        <v>129</v>
      </c>
    </row>
    <row r="15" spans="1:3" x14ac:dyDescent="0.3">
      <c r="A15" s="8" t="s">
        <v>14</v>
      </c>
      <c r="B15" s="8" t="s">
        <v>130</v>
      </c>
      <c r="C15" s="8" t="s">
        <v>131</v>
      </c>
    </row>
    <row r="17" spans="1:1" x14ac:dyDescent="0.3">
      <c r="A17" s="2" t="s">
        <v>132</v>
      </c>
    </row>
  </sheetData>
  <hyperlinks>
    <hyperlink ref="B4" r:id="rId1" xr:uid="{00000000-0004-0000-0400-000000000000}"/>
    <hyperlink ref="B5" r:id="rId2" xr:uid="{00000000-0004-0000-0400-000001000000}"/>
    <hyperlink ref="B6" r:id="rId3" xr:uid="{00000000-0004-0000-0400-000002000000}"/>
    <hyperlink ref="B7" r:id="rId4" xr:uid="{00000000-0004-0000-0400-000003000000}"/>
    <hyperlink ref="B8" r:id="rId5" xr:uid="{00000000-0004-0000-0400-000004000000}"/>
    <hyperlink ref="B9" r:id="rId6" xr:uid="{00000000-0004-0000-0400-000005000000}"/>
    <hyperlink ref="B10" r:id="rId7" xr:uid="{00000000-0004-0000-0400-000006000000}"/>
    <hyperlink ref="B11" r:id="rId8" xr:uid="{00000000-0004-0000-0400-000007000000}"/>
    <hyperlink ref="B12" r:id="rId9" xr:uid="{00000000-0004-0000-0400-000008000000}"/>
    <hyperlink ref="B13" r:id="rId10" xr:uid="{00000000-0004-0000-0400-000009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Asumsi</vt:lpstr>
      <vt:lpstr>Ringkasan</vt:lpstr>
      <vt:lpstr>1 IC</vt:lpstr>
      <vt:lpstr>2 IC</vt:lpstr>
      <vt:lpstr>Sumber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Naufal Dhaffa Akbar Wicaksono</cp:lastModifiedBy>
  <dcterms:created xsi:type="dcterms:W3CDTF">2026-10-14T03:36:19Z</dcterms:created>
  <dcterms:modified xsi:type="dcterms:W3CDTF">2026-10-14T03:36:22Z</dcterms:modified>
</cp:coreProperties>
</file>